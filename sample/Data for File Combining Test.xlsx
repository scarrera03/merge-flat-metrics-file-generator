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shi.bhatnagarme.com/Downloads/01-POC Content/"/>
    </mc:Choice>
  </mc:AlternateContent>
  <xr:revisionPtr revIDLastSave="0" documentId="13_ncr:1_{90ED056D-6FCD-9046-9115-F5753A2C439B}" xr6:coauthVersionLast="47" xr6:coauthVersionMax="47" xr10:uidLastSave="{00000000-0000-0000-0000-000000000000}"/>
  <bookViews>
    <workbookView xWindow="50740" yWindow="-25140" windowWidth="24720" windowHeight="20780" xr2:uid="{2189FF44-BD7D-EF41-85B2-B1945B8F6FE3}"/>
  </bookViews>
  <sheets>
    <sheet name="Company A" sheetId="1" r:id="rId1"/>
    <sheet name="Company B" sheetId="3" r:id="rId2"/>
    <sheet name="Company C" sheetId="4" r:id="rId3"/>
    <sheet name="Company D" sheetId="5" r:id="rId4"/>
  </sheets>
  <externalReferences>
    <externalReference r:id="rId5"/>
  </externalReference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" i="4" l="1"/>
  <c r="E29" i="4"/>
  <c r="C25" i="3"/>
  <c r="I24" i="3"/>
  <c r="K24" i="3" s="1"/>
  <c r="E24" i="3"/>
  <c r="J23" i="3"/>
  <c r="I23" i="3"/>
  <c r="K23" i="3" s="1"/>
  <c r="D23" i="3"/>
  <c r="E23" i="3" s="1"/>
  <c r="I22" i="3"/>
  <c r="K22" i="3" s="1"/>
  <c r="E22" i="3"/>
  <c r="D21" i="3"/>
  <c r="J20" i="3"/>
  <c r="J21" i="3" s="1"/>
  <c r="F20" i="3"/>
  <c r="D20" i="3"/>
  <c r="E20" i="3" s="1"/>
  <c r="C20" i="3"/>
  <c r="J19" i="3"/>
  <c r="L19" i="3" s="1"/>
  <c r="I19" i="3"/>
  <c r="D19" i="3"/>
  <c r="C19" i="3"/>
  <c r="E19" i="3" s="1"/>
  <c r="J17" i="3"/>
  <c r="J18" i="3" s="1"/>
  <c r="F17" i="3"/>
  <c r="E17" i="3"/>
  <c r="D17" i="3"/>
  <c r="D18" i="3" s="1"/>
  <c r="C17" i="3"/>
  <c r="D16" i="3"/>
  <c r="J15" i="3"/>
  <c r="J16" i="3" s="1"/>
  <c r="D15" i="3"/>
  <c r="F15" i="3" s="1"/>
  <c r="C15" i="3"/>
  <c r="E15" i="3" s="1"/>
  <c r="J14" i="3"/>
  <c r="D14" i="3"/>
  <c r="J13" i="3"/>
  <c r="D13" i="3"/>
  <c r="I13" i="3" s="1"/>
  <c r="C13" i="3"/>
  <c r="E13" i="3" s="1"/>
  <c r="D11" i="3"/>
  <c r="J10" i="3"/>
  <c r="D10" i="3"/>
  <c r="I10" i="3" s="1"/>
  <c r="C10" i="3"/>
  <c r="E10" i="3" s="1"/>
  <c r="J9" i="3"/>
  <c r="J11" i="3" s="1"/>
  <c r="I9" i="3"/>
  <c r="I11" i="3" s="1"/>
  <c r="D9" i="3"/>
  <c r="F9" i="3" s="1"/>
  <c r="C9" i="3"/>
  <c r="C18" i="3" s="1"/>
  <c r="I24" i="1"/>
  <c r="L24" i="1" s="1"/>
  <c r="F24" i="1"/>
  <c r="E24" i="1"/>
  <c r="I23" i="1"/>
  <c r="K23" i="1" s="1"/>
  <c r="F23" i="1"/>
  <c r="E23" i="1"/>
  <c r="I22" i="1"/>
  <c r="L22" i="1" s="1"/>
  <c r="E22" i="1"/>
  <c r="I19" i="1"/>
  <c r="L19" i="1" s="1"/>
  <c r="F19" i="1"/>
  <c r="E19" i="1"/>
  <c r="I18" i="1"/>
  <c r="L18" i="1" s="1"/>
  <c r="E18" i="1"/>
  <c r="C18" i="1"/>
  <c r="D14" i="1"/>
  <c r="D15" i="1" s="1"/>
  <c r="J13" i="1"/>
  <c r="D13" i="1"/>
  <c r="C13" i="1"/>
  <c r="I12" i="1"/>
  <c r="L12" i="1" s="1"/>
  <c r="F12" i="1"/>
  <c r="E12" i="1"/>
  <c r="J10" i="1"/>
  <c r="J16" i="1" s="1"/>
  <c r="D10" i="1"/>
  <c r="D11" i="1" s="1"/>
  <c r="C10" i="1"/>
  <c r="C16" i="1" s="1"/>
  <c r="I9" i="1"/>
  <c r="L9" i="1" s="1"/>
  <c r="F9" i="1"/>
  <c r="E9" i="1"/>
  <c r="I8" i="1"/>
  <c r="I13" i="1" s="1"/>
  <c r="F8" i="1"/>
  <c r="E8" i="1"/>
  <c r="C11" i="1" l="1"/>
  <c r="E10" i="1"/>
  <c r="K12" i="1"/>
  <c r="J14" i="1"/>
  <c r="K9" i="1"/>
  <c r="L23" i="1"/>
  <c r="K18" i="1"/>
  <c r="L11" i="3"/>
  <c r="J12" i="3"/>
  <c r="E29" i="3"/>
  <c r="K10" i="3"/>
  <c r="L10" i="3"/>
  <c r="I17" i="3"/>
  <c r="I12" i="3"/>
  <c r="I15" i="3"/>
  <c r="F11" i="3"/>
  <c r="K13" i="3"/>
  <c r="I14" i="3"/>
  <c r="L13" i="3"/>
  <c r="D12" i="3"/>
  <c r="D25" i="3"/>
  <c r="K9" i="3"/>
  <c r="K11" i="3" s="1"/>
  <c r="C11" i="3"/>
  <c r="C12" i="3" s="1"/>
  <c r="C14" i="3"/>
  <c r="L9" i="3"/>
  <c r="C16" i="3"/>
  <c r="K19" i="3"/>
  <c r="C21" i="3"/>
  <c r="J25" i="3"/>
  <c r="F10" i="3"/>
  <c r="F13" i="3"/>
  <c r="E9" i="3"/>
  <c r="E11" i="3" s="1"/>
  <c r="J20" i="1"/>
  <c r="J17" i="1"/>
  <c r="C20" i="1"/>
  <c r="C17" i="1"/>
  <c r="J11" i="1"/>
  <c r="C14" i="1"/>
  <c r="C15" i="1" s="1"/>
  <c r="J15" i="1"/>
  <c r="K8" i="1"/>
  <c r="F10" i="1"/>
  <c r="K19" i="1"/>
  <c r="L8" i="1"/>
  <c r="I10" i="1"/>
  <c r="D16" i="1"/>
  <c r="L10" i="1"/>
  <c r="K22" i="1"/>
  <c r="K24" i="1"/>
  <c r="K10" i="1" l="1"/>
  <c r="E14" i="1"/>
  <c r="E28" i="1" s="1"/>
  <c r="J34" i="5"/>
  <c r="C34" i="5"/>
  <c r="I16" i="3"/>
  <c r="L15" i="3"/>
  <c r="K15" i="3"/>
  <c r="K29" i="3" s="1"/>
  <c r="I18" i="3"/>
  <c r="K17" i="3"/>
  <c r="I20" i="3"/>
  <c r="F25" i="3"/>
  <c r="E25" i="3"/>
  <c r="L17" i="3"/>
  <c r="J25" i="1"/>
  <c r="J21" i="1"/>
  <c r="F14" i="1"/>
  <c r="D20" i="1"/>
  <c r="F16" i="1"/>
  <c r="E16" i="1"/>
  <c r="D17" i="1"/>
  <c r="I11" i="1"/>
  <c r="I16" i="1"/>
  <c r="I14" i="1"/>
  <c r="C21" i="1"/>
  <c r="C25" i="1"/>
  <c r="I21" i="3" l="1"/>
  <c r="I25" i="3"/>
  <c r="L20" i="3"/>
  <c r="K20" i="3"/>
  <c r="I15" i="1"/>
  <c r="K14" i="1"/>
  <c r="K28" i="1" s="1"/>
  <c r="L14" i="1"/>
  <c r="F20" i="1"/>
  <c r="E20" i="1"/>
  <c r="D21" i="1"/>
  <c r="D25" i="1"/>
  <c r="I20" i="1"/>
  <c r="I17" i="1"/>
  <c r="L16" i="1"/>
  <c r="K16" i="1"/>
  <c r="K25" i="3" l="1"/>
  <c r="L25" i="3"/>
  <c r="I25" i="1"/>
  <c r="I21" i="1"/>
  <c r="L20" i="1"/>
  <c r="K20" i="1"/>
  <c r="F25" i="1"/>
  <c r="E25" i="1"/>
  <c r="L25" i="1" l="1"/>
  <c r="K25" i="1"/>
</calcChain>
</file>

<file path=xl/sharedStrings.xml><?xml version="1.0" encoding="utf-8"?>
<sst xmlns="http://schemas.openxmlformats.org/spreadsheetml/2006/main" count="206" uniqueCount="39">
  <si>
    <t>Auto+Hide+Values</t>
  </si>
  <si>
    <t>Vs. Budget</t>
  </si>
  <si>
    <t>vs. 2024F</t>
  </si>
  <si>
    <t>2024B</t>
  </si>
  <si>
    <t>2024F</t>
  </si>
  <si>
    <t>$</t>
  </si>
  <si>
    <t>%</t>
  </si>
  <si>
    <t>2025B</t>
  </si>
  <si>
    <t>Revenue</t>
  </si>
  <si>
    <r>
      <t>Cost of Goods Sold</t>
    </r>
    <r>
      <rPr>
        <vertAlign val="superscript"/>
        <sz val="11"/>
        <rFont val="Arial"/>
        <family val="2"/>
      </rPr>
      <t>1</t>
    </r>
  </si>
  <si>
    <t>Gross Margin</t>
  </si>
  <si>
    <t>GM%</t>
  </si>
  <si>
    <r>
      <t>SG&amp;A</t>
    </r>
    <r>
      <rPr>
        <vertAlign val="superscript"/>
        <sz val="11"/>
        <rFont val="Arial"/>
        <family val="2"/>
      </rPr>
      <t>1</t>
    </r>
  </si>
  <si>
    <t>% of Revenues</t>
  </si>
  <si>
    <t>EBITDA</t>
  </si>
  <si>
    <t>EBITDA %</t>
  </si>
  <si>
    <t>EBIT</t>
  </si>
  <si>
    <t>EBIT%</t>
  </si>
  <si>
    <t>Interest</t>
  </si>
  <si>
    <t>nm</t>
  </si>
  <si>
    <t>Other</t>
  </si>
  <si>
    <t>Net Income</t>
  </si>
  <si>
    <t>NI%</t>
  </si>
  <si>
    <t>Capex</t>
  </si>
  <si>
    <t>na</t>
  </si>
  <si>
    <t>Plus/Minus:  Working Capital</t>
  </si>
  <si>
    <t>Plus:  Depreciation</t>
  </si>
  <si>
    <t xml:space="preserve">Cash Flow </t>
  </si>
  <si>
    <t>Cash Flow</t>
  </si>
  <si>
    <t>1.  Includes Depreciation</t>
  </si>
  <si>
    <t>Modcor</t>
  </si>
  <si>
    <t>vs. Budget/Actual</t>
  </si>
  <si>
    <t>2023A</t>
  </si>
  <si>
    <t>Plus/Minus: Change in WCAP</t>
  </si>
  <si>
    <t>MSP</t>
  </si>
  <si>
    <t>Cost of Goods Sold1</t>
  </si>
  <si>
    <t>SG&amp;A1</t>
  </si>
  <si>
    <t>Callan</t>
  </si>
  <si>
    <t>Interest Exp &amp; Other (Income)/Expense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</si>
</sst>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%;\(0%\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vertAlign val="superscript"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0" xfId="0" applyFont="1" applyFill="1"/>
    <xf numFmtId="0" fontId="3" fillId="2" borderId="1" xfId="0" applyFont="1" applyFill="1" applyBorder="1" applyAlignment="1">
      <alignment horizont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3" fillId="2" borderId="0" xfId="0" applyFont="1" applyFill="1" applyAlignment="1">
      <alignment vertical="center"/>
    </xf>
    <xf numFmtId="37" fontId="2" fillId="2" borderId="0" xfId="0" applyNumberFormat="1" applyFont="1" applyFill="1"/>
    <xf numFmtId="164" fontId="2" fillId="2" borderId="0" xfId="1" applyNumberFormat="1" applyFont="1" applyFill="1"/>
    <xf numFmtId="37" fontId="2" fillId="2" borderId="1" xfId="0" applyNumberFormat="1" applyFont="1" applyFill="1" applyBorder="1"/>
    <xf numFmtId="164" fontId="2" fillId="2" borderId="1" xfId="1" applyNumberFormat="1" applyFont="1" applyFill="1" applyBorder="1"/>
    <xf numFmtId="9" fontId="2" fillId="2" borderId="0" xfId="1" applyFont="1" applyFill="1"/>
    <xf numFmtId="164" fontId="2" fillId="2" borderId="0" xfId="1" applyNumberFormat="1" applyFont="1" applyFill="1" applyAlignment="1">
      <alignment horizontal="right"/>
    </xf>
    <xf numFmtId="164" fontId="2" fillId="2" borderId="1" xfId="1" applyNumberFormat="1" applyFont="1" applyFill="1" applyBorder="1" applyAlignment="1">
      <alignment horizontal="right"/>
    </xf>
    <xf numFmtId="37" fontId="2" fillId="2" borderId="0" xfId="0" applyNumberFormat="1" applyFont="1" applyFill="1" applyAlignment="1">
      <alignment horizontal="right"/>
    </xf>
    <xf numFmtId="0" fontId="2" fillId="3" borderId="0" xfId="0" applyFont="1" applyFill="1"/>
    <xf numFmtId="0" fontId="3" fillId="3" borderId="0" xfId="0" applyFont="1" applyFill="1"/>
    <xf numFmtId="0" fontId="3" fillId="3" borderId="1" xfId="0" applyFont="1" applyFill="1" applyBorder="1" applyAlignment="1">
      <alignment horizont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vertical="center"/>
    </xf>
    <xf numFmtId="37" fontId="2" fillId="3" borderId="0" xfId="0" applyNumberFormat="1" applyFont="1" applyFill="1"/>
    <xf numFmtId="164" fontId="2" fillId="3" borderId="0" xfId="1" applyNumberFormat="1" applyFont="1" applyFill="1" applyBorder="1"/>
    <xf numFmtId="37" fontId="2" fillId="3" borderId="1" xfId="0" applyNumberFormat="1" applyFont="1" applyFill="1" applyBorder="1"/>
    <xf numFmtId="164" fontId="2" fillId="3" borderId="1" xfId="1" applyNumberFormat="1" applyFont="1" applyFill="1" applyBorder="1"/>
    <xf numFmtId="9" fontId="2" fillId="3" borderId="0" xfId="1" applyFont="1" applyFill="1" applyBorder="1"/>
    <xf numFmtId="37" fontId="2" fillId="3" borderId="0" xfId="0" applyNumberFormat="1" applyFont="1" applyFill="1" applyAlignment="1">
      <alignment horizontal="right"/>
    </xf>
    <xf numFmtId="164" fontId="2" fillId="3" borderId="0" xfId="1" applyNumberFormat="1" applyFont="1" applyFill="1" applyBorder="1" applyAlignment="1">
      <alignment horizontal="right"/>
    </xf>
    <xf numFmtId="164" fontId="2" fillId="3" borderId="1" xfId="1" applyNumberFormat="1" applyFont="1" applyFill="1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ullivaninterests-my.sharepoint.com/personal/dcase_sullbros_com/Documents/Documents/OpCos/SLS/Modcorr.xlsx" TargetMode="External"/><Relationship Id="rId1" Type="http://schemas.openxmlformats.org/officeDocument/2006/relationships/externalLinkPath" Target="https://sullivaninterests-my.sharepoint.com/personal/dcase_sullbros_com/Documents/Documents/OpCos/SLS/Modcor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Mod"/>
    </sheetNames>
    <sheetDataSet>
      <sheetData sheetId="0" refreshError="1">
        <row r="5">
          <cell r="B5">
            <v>3226838</v>
          </cell>
          <cell r="D5">
            <v>26005345.25</v>
          </cell>
          <cell r="F5">
            <v>163876984</v>
          </cell>
        </row>
        <row r="9">
          <cell r="B9">
            <v>3054726</v>
          </cell>
          <cell r="D9">
            <v>24635959.708500002</v>
          </cell>
          <cell r="F9">
            <v>113815597.23658235</v>
          </cell>
        </row>
        <row r="15">
          <cell r="B15">
            <v>840290</v>
          </cell>
          <cell r="D15">
            <v>3560477</v>
          </cell>
          <cell r="F15">
            <v>4217208.6153205987</v>
          </cell>
        </row>
        <row r="18">
          <cell r="B18">
            <v>-668178</v>
          </cell>
          <cell r="D18">
            <v>-2191091.4585000016</v>
          </cell>
          <cell r="F18">
            <v>45844178.148097046</v>
          </cell>
        </row>
        <row r="24">
          <cell r="B24">
            <v>0</v>
          </cell>
          <cell r="D24">
            <v>-22693.333333333332</v>
          </cell>
          <cell r="F24">
            <v>-22693.333333333332</v>
          </cell>
        </row>
        <row r="32">
          <cell r="B32">
            <v>-668178</v>
          </cell>
          <cell r="D32">
            <v>-2213784.7918333351</v>
          </cell>
          <cell r="F32">
            <v>41237067.81476371</v>
          </cell>
        </row>
        <row r="35">
          <cell r="B35">
            <v>-668178</v>
          </cell>
          <cell r="D35">
            <v>-2191091.4585000016</v>
          </cell>
          <cell r="F35">
            <v>45821484.81476371</v>
          </cell>
        </row>
        <row r="100">
          <cell r="D100">
            <v>-3773812.9552068952</v>
          </cell>
          <cell r="F100">
            <v>-8897378.8259386923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3AD29-F57E-2046-80DF-55452128A78D}">
  <dimension ref="A1:M28"/>
  <sheetViews>
    <sheetView tabSelected="1" topLeftCell="B2" workbookViewId="0">
      <selection activeCell="B8" sqref="B8"/>
    </sheetView>
  </sheetViews>
  <sheetFormatPr baseColWidth="10" defaultColWidth="9.1640625" defaultRowHeight="14" outlineLevelRow="1" x14ac:dyDescent="0.15"/>
  <cols>
    <col min="1" max="1" width="0" style="1" hidden="1" customWidth="1"/>
    <col min="2" max="2" width="28.1640625" style="1" bestFit="1" customWidth="1"/>
    <col min="3" max="4" width="9.1640625" style="1" bestFit="1"/>
    <col min="5" max="5" width="8.6640625" style="1" bestFit="1" customWidth="1"/>
    <col min="6" max="6" width="7.6640625" style="1" bestFit="1" customWidth="1"/>
    <col min="7" max="7" width="6.5" style="1" customWidth="1"/>
    <col min="8" max="8" width="28.1640625" style="1" customWidth="1"/>
    <col min="9" max="9" width="9.1640625" style="1"/>
    <col min="10" max="11" width="9.1640625" style="1" bestFit="1"/>
    <col min="12" max="13" width="8.6640625" style="1" customWidth="1"/>
    <col min="14" max="16384" width="9.1640625" style="1"/>
  </cols>
  <sheetData>
    <row r="1" spans="1:13" hidden="1" x14ac:dyDescent="0.15">
      <c r="A1" s="1" t="s">
        <v>0</v>
      </c>
    </row>
    <row r="6" spans="1:13" x14ac:dyDescent="0.15">
      <c r="E6" s="2" t="s">
        <v>1</v>
      </c>
      <c r="F6" s="2"/>
      <c r="K6" s="2" t="s">
        <v>2</v>
      </c>
      <c r="L6" s="2"/>
    </row>
    <row r="7" spans="1:13" x14ac:dyDescent="0.15">
      <c r="B7" s="3"/>
      <c r="C7" s="4" t="s">
        <v>3</v>
      </c>
      <c r="D7" s="4" t="s">
        <v>4</v>
      </c>
      <c r="E7" s="4" t="s">
        <v>5</v>
      </c>
      <c r="F7" s="4" t="s">
        <v>6</v>
      </c>
      <c r="G7" s="5"/>
      <c r="H7" s="3"/>
      <c r="I7" s="4" t="s">
        <v>4</v>
      </c>
      <c r="J7" s="4" t="s">
        <v>7</v>
      </c>
      <c r="K7" s="4" t="s">
        <v>5</v>
      </c>
      <c r="L7" s="4" t="s">
        <v>6</v>
      </c>
      <c r="M7" s="5"/>
    </row>
    <row r="8" spans="1:13" x14ac:dyDescent="0.15">
      <c r="B8" s="3" t="s">
        <v>8</v>
      </c>
      <c r="C8" s="6">
        <v>545319.14143541502</v>
      </c>
      <c r="D8" s="6">
        <v>599724.66492227814</v>
      </c>
      <c r="E8" s="6">
        <f>D8-C8</f>
        <v>54405.523486863123</v>
      </c>
      <c r="F8" s="7">
        <f>D8/C8-1</f>
        <v>9.9768226260413817E-2</v>
      </c>
      <c r="H8" s="3" t="s">
        <v>8</v>
      </c>
      <c r="I8" s="6">
        <f>D8</f>
        <v>599724.66492227814</v>
      </c>
      <c r="J8" s="6">
        <v>843298.85639450187</v>
      </c>
      <c r="K8" s="6">
        <f>J8-I8</f>
        <v>243574.19147222373</v>
      </c>
      <c r="L8" s="7">
        <f>J8/I8-1</f>
        <v>0.40614336164378018</v>
      </c>
    </row>
    <row r="9" spans="1:13" ht="15" x14ac:dyDescent="0.15">
      <c r="B9" s="3" t="s">
        <v>9</v>
      </c>
      <c r="C9" s="8">
        <v>472119.8899235368</v>
      </c>
      <c r="D9" s="8">
        <v>458189.28527456446</v>
      </c>
      <c r="E9" s="8">
        <f>D9-C9</f>
        <v>-13930.604648972338</v>
      </c>
      <c r="F9" s="9">
        <f>D9/C9-1</f>
        <v>-2.9506498129592718E-2</v>
      </c>
      <c r="H9" s="3" t="s">
        <v>9</v>
      </c>
      <c r="I9" s="8">
        <f>D9</f>
        <v>458189.28527456446</v>
      </c>
      <c r="J9" s="8">
        <v>760074.09498018003</v>
      </c>
      <c r="K9" s="8">
        <f>J9-I9</f>
        <v>301884.80970561557</v>
      </c>
      <c r="L9" s="9">
        <f>J9/I9-1</f>
        <v>0.65886483906910809</v>
      </c>
    </row>
    <row r="10" spans="1:13" x14ac:dyDescent="0.15">
      <c r="B10" s="3" t="s">
        <v>10</v>
      </c>
      <c r="C10" s="6">
        <f>C8-C9</f>
        <v>73199.251511878218</v>
      </c>
      <c r="D10" s="6">
        <f>D8-D9</f>
        <v>141535.37964771368</v>
      </c>
      <c r="E10" s="6">
        <f>E8-E9</f>
        <v>68336.128135835461</v>
      </c>
      <c r="F10" s="7">
        <f>D10/C10-1</f>
        <v>0.93356320897279121</v>
      </c>
      <c r="H10" s="3" t="s">
        <v>10</v>
      </c>
      <c r="I10" s="6">
        <f>I8-I9</f>
        <v>141535.37964771368</v>
      </c>
      <c r="J10" s="6">
        <f>J8-J9</f>
        <v>83224.761414321838</v>
      </c>
      <c r="K10" s="6">
        <f>K8-K9</f>
        <v>-58310.61823339184</v>
      </c>
      <c r="L10" s="7">
        <f t="shared" ref="L10" si="0">J10/I10-1</f>
        <v>-0.41198616472099714</v>
      </c>
    </row>
    <row r="11" spans="1:13" x14ac:dyDescent="0.15">
      <c r="B11" s="3" t="s">
        <v>11</v>
      </c>
      <c r="C11" s="10">
        <f>C10/C8</f>
        <v>0.13423194960514254</v>
      </c>
      <c r="D11" s="10">
        <f>D10/D8</f>
        <v>0.23600059815124677</v>
      </c>
      <c r="H11" s="3" t="s">
        <v>11</v>
      </c>
      <c r="I11" s="10">
        <f>I10/I8</f>
        <v>0.23600059815124677</v>
      </c>
      <c r="J11" s="10">
        <f>J10/J8</f>
        <v>9.8689522443024202E-2</v>
      </c>
    </row>
    <row r="12" spans="1:13" ht="15" x14ac:dyDescent="0.15">
      <c r="B12" s="3" t="s">
        <v>12</v>
      </c>
      <c r="C12" s="6">
        <v>13812.251511878276</v>
      </c>
      <c r="D12" s="6">
        <v>49571.224610000012</v>
      </c>
      <c r="E12" s="6">
        <f>D12-C12</f>
        <v>35758.973098121736</v>
      </c>
      <c r="F12" s="7">
        <f>D12/C12-1</f>
        <v>2.5889315052922179</v>
      </c>
      <c r="H12" s="3" t="s">
        <v>12</v>
      </c>
      <c r="I12" s="6">
        <f>D12</f>
        <v>49571.224610000012</v>
      </c>
      <c r="J12" s="6">
        <v>20000</v>
      </c>
      <c r="K12" s="6">
        <f>J12-I12</f>
        <v>-29571.224610000012</v>
      </c>
      <c r="L12" s="7">
        <f>J12/I12-1</f>
        <v>-0.59654012670961132</v>
      </c>
    </row>
    <row r="13" spans="1:13" x14ac:dyDescent="0.15">
      <c r="B13" s="3" t="s">
        <v>13</v>
      </c>
      <c r="C13" s="10">
        <f>C12/C8</f>
        <v>2.5328748731469446E-2</v>
      </c>
      <c r="D13" s="10">
        <f>D12/D8</f>
        <v>8.2656638136475905E-2</v>
      </c>
      <c r="H13" s="3" t="s">
        <v>13</v>
      </c>
      <c r="I13" s="10">
        <f>I12/I8</f>
        <v>8.2656638136475905E-2</v>
      </c>
      <c r="J13" s="10">
        <f>J12/J8</f>
        <v>2.3716384586965268E-2</v>
      </c>
    </row>
    <row r="14" spans="1:13" x14ac:dyDescent="0.15">
      <c r="B14" s="3" t="s">
        <v>14</v>
      </c>
      <c r="C14" s="6">
        <f>C10-C12+C24</f>
        <v>60049.809999999939</v>
      </c>
      <c r="D14" s="6">
        <f>D10-D12+D24</f>
        <v>93508.95845771367</v>
      </c>
      <c r="E14" s="6">
        <f>D14-C14</f>
        <v>33459.148457713731</v>
      </c>
      <c r="F14" s="7">
        <f>D14/C14-1</f>
        <v>0.55718991380178839</v>
      </c>
      <c r="H14" s="3" t="s">
        <v>14</v>
      </c>
      <c r="I14" s="6">
        <f>I10-I12+I24</f>
        <v>93508.95845771367</v>
      </c>
      <c r="J14" s="6">
        <f>J10-J12+J24</f>
        <v>63458.053414321839</v>
      </c>
      <c r="K14" s="6">
        <f>J14-I14</f>
        <v>-30050.905043391831</v>
      </c>
      <c r="L14" s="7">
        <f>J14/I14-1</f>
        <v>-0.32136926278546196</v>
      </c>
    </row>
    <row r="15" spans="1:13" x14ac:dyDescent="0.15">
      <c r="B15" s="3" t="s">
        <v>15</v>
      </c>
      <c r="C15" s="10">
        <f>C14/C8</f>
        <v>0.11011865426534262</v>
      </c>
      <c r="D15" s="10">
        <f>D14/D8</f>
        <v>0.15591981441989225</v>
      </c>
      <c r="H15" s="3" t="s">
        <v>15</v>
      </c>
      <c r="I15" s="10">
        <f>I14/I8</f>
        <v>0.15591981441989225</v>
      </c>
      <c r="J15" s="10">
        <f>J14/J8</f>
        <v>7.5249779995712057E-2</v>
      </c>
    </row>
    <row r="16" spans="1:13" x14ac:dyDescent="0.15">
      <c r="B16" s="3" t="s">
        <v>16</v>
      </c>
      <c r="C16" s="6">
        <f>C10-C12</f>
        <v>59386.999999999942</v>
      </c>
      <c r="D16" s="6">
        <f>D10-D12</f>
        <v>91964.155037713674</v>
      </c>
      <c r="E16" s="6">
        <f>D16-C16</f>
        <v>32577.155037713732</v>
      </c>
      <c r="F16" s="7">
        <f>D16/C16-1</f>
        <v>0.54855700806091834</v>
      </c>
      <c r="H16" s="3" t="s">
        <v>16</v>
      </c>
      <c r="I16" s="6">
        <f>I10-I12</f>
        <v>91964.155037713674</v>
      </c>
      <c r="J16" s="6">
        <f>J10-J12</f>
        <v>63224.761414321838</v>
      </c>
      <c r="K16" s="6">
        <f>J16-I16</f>
        <v>-28739.393623391836</v>
      </c>
      <c r="L16" s="7">
        <f>J16/I16-1</f>
        <v>-0.31250647180530355</v>
      </c>
    </row>
    <row r="17" spans="2:12" x14ac:dyDescent="0.15">
      <c r="B17" s="3" t="s">
        <v>17</v>
      </c>
      <c r="C17" s="10">
        <f>C16/C8</f>
        <v>0.10890320087367308</v>
      </c>
      <c r="D17" s="10">
        <f>D16/D8</f>
        <v>0.15334396001477085</v>
      </c>
      <c r="H17" s="3" t="s">
        <v>17</v>
      </c>
      <c r="I17" s="10">
        <f>I16/I8</f>
        <v>0.15334396001477085</v>
      </c>
      <c r="J17" s="10">
        <f>J16/J8</f>
        <v>7.4973137856058941E-2</v>
      </c>
    </row>
    <row r="18" spans="2:12" x14ac:dyDescent="0.15">
      <c r="B18" s="3" t="s">
        <v>18</v>
      </c>
      <c r="C18" s="6">
        <f>61192/1000</f>
        <v>61.192</v>
      </c>
      <c r="D18" s="6">
        <v>-7075.6645799999997</v>
      </c>
      <c r="E18" s="6">
        <f>D18-C18</f>
        <v>-7136.8565799999997</v>
      </c>
      <c r="F18" s="11" t="s">
        <v>19</v>
      </c>
      <c r="H18" s="3" t="s">
        <v>18</v>
      </c>
      <c r="I18" s="6">
        <f>D18</f>
        <v>-7075.6645799999997</v>
      </c>
      <c r="J18" s="6">
        <v>0</v>
      </c>
      <c r="K18" s="6">
        <f>J18-I18</f>
        <v>7075.6645799999997</v>
      </c>
      <c r="L18" s="7">
        <f>J18/I18-1</f>
        <v>-1</v>
      </c>
    </row>
    <row r="19" spans="2:12" outlineLevel="1" x14ac:dyDescent="0.15">
      <c r="B19" s="3" t="s">
        <v>20</v>
      </c>
      <c r="C19" s="6">
        <v>1187.74</v>
      </c>
      <c r="D19" s="6">
        <v>-1024.8870999999995</v>
      </c>
      <c r="E19" s="6">
        <f>D19-C19</f>
        <v>-2212.6270999999997</v>
      </c>
      <c r="F19" s="7">
        <f>D19/C19-1</f>
        <v>-1.8628884267600649</v>
      </c>
      <c r="H19" s="3" t="s">
        <v>20</v>
      </c>
      <c r="I19" s="6">
        <f>D19</f>
        <v>-1024.8870999999995</v>
      </c>
      <c r="J19" s="6">
        <v>-436.83793202966007</v>
      </c>
      <c r="K19" s="6">
        <f>J19-I19</f>
        <v>588.04916797033934</v>
      </c>
      <c r="L19" s="7">
        <f>J19/I19-1</f>
        <v>-0.57376970397065175</v>
      </c>
    </row>
    <row r="20" spans="2:12" x14ac:dyDescent="0.15">
      <c r="B20" s="3" t="s">
        <v>21</v>
      </c>
      <c r="C20" s="6">
        <f>C16-C18-C19</f>
        <v>58138.067999999941</v>
      </c>
      <c r="D20" s="6">
        <f>D16+D18+D19</f>
        <v>83863.603357713684</v>
      </c>
      <c r="E20" s="6">
        <f>D20-C20</f>
        <v>25725.535357713743</v>
      </c>
      <c r="F20" s="7">
        <f>D20/C20-1</f>
        <v>0.44249037236176769</v>
      </c>
      <c r="H20" s="3" t="s">
        <v>21</v>
      </c>
      <c r="I20" s="6">
        <f>I16+I18+I19</f>
        <v>83863.603357713684</v>
      </c>
      <c r="J20" s="6">
        <f>J16+J18+J19</f>
        <v>62787.923482292179</v>
      </c>
      <c r="K20" s="6">
        <f>J20-I20</f>
        <v>-21075.679875421505</v>
      </c>
      <c r="L20" s="7">
        <f>J20/I20-1</f>
        <v>-0.25130901883055068</v>
      </c>
    </row>
    <row r="21" spans="2:12" x14ac:dyDescent="0.15">
      <c r="B21" s="3" t="s">
        <v>22</v>
      </c>
      <c r="C21" s="10">
        <f>C20/C8</f>
        <v>0.10661292366698545</v>
      </c>
      <c r="D21" s="10">
        <f>D20/D8</f>
        <v>0.1398368422425682</v>
      </c>
      <c r="H21" s="3" t="s">
        <v>22</v>
      </c>
      <c r="I21" s="10">
        <f>I20/I8</f>
        <v>0.1398368422425682</v>
      </c>
      <c r="J21" s="10">
        <f>J20/J8</f>
        <v>7.4455127036149441E-2</v>
      </c>
    </row>
    <row r="22" spans="2:12" x14ac:dyDescent="0.15">
      <c r="B22" s="3" t="s">
        <v>23</v>
      </c>
      <c r="C22" s="6">
        <v>0</v>
      </c>
      <c r="D22" s="6">
        <v>-1384.348</v>
      </c>
      <c r="E22" s="6">
        <f>D22-C22</f>
        <v>-1384.348</v>
      </c>
      <c r="F22" s="11" t="s">
        <v>24</v>
      </c>
      <c r="H22" s="3" t="s">
        <v>23</v>
      </c>
      <c r="I22" s="6">
        <f>D22</f>
        <v>-1384.348</v>
      </c>
      <c r="J22" s="6">
        <v>-2341.0479999999998</v>
      </c>
      <c r="K22" s="6">
        <f>J22-I22</f>
        <v>-956.69999999999982</v>
      </c>
      <c r="L22" s="7">
        <f>J22/I22-1</f>
        <v>0.69108345589403819</v>
      </c>
    </row>
    <row r="23" spans="2:12" x14ac:dyDescent="0.15">
      <c r="B23" s="3" t="s">
        <v>25</v>
      </c>
      <c r="C23" s="6">
        <v>-74235.436324718423</v>
      </c>
      <c r="D23" s="6">
        <v>-56974.687426842807</v>
      </c>
      <c r="E23" s="6">
        <f>D23-C23</f>
        <v>17260.748897875616</v>
      </c>
      <c r="F23" s="7">
        <f>D23/C23-1</f>
        <v>-0.23251360472071803</v>
      </c>
      <c r="H23" s="3" t="s">
        <v>25</v>
      </c>
      <c r="I23" s="6">
        <f>D23</f>
        <v>-56974.687426842807</v>
      </c>
      <c r="J23" s="6">
        <v>-13240.690559164286</v>
      </c>
      <c r="K23" s="6">
        <f>J23-I23</f>
        <v>43733.996867678521</v>
      </c>
      <c r="L23" s="7">
        <f>J23/I23-1</f>
        <v>-0.76760398069465974</v>
      </c>
    </row>
    <row r="24" spans="2:12" x14ac:dyDescent="0.15">
      <c r="B24" s="1" t="s">
        <v>26</v>
      </c>
      <c r="C24" s="8">
        <v>662.81</v>
      </c>
      <c r="D24" s="8">
        <v>1544.80342</v>
      </c>
      <c r="E24" s="8">
        <f>D24-C24</f>
        <v>881.99342000000001</v>
      </c>
      <c r="F24" s="9">
        <f>D24/C24-1</f>
        <v>1.3306881610114516</v>
      </c>
      <c r="H24" s="1" t="s">
        <v>26</v>
      </c>
      <c r="I24" s="8">
        <f>D24</f>
        <v>1544.80342</v>
      </c>
      <c r="J24" s="8">
        <v>233.292</v>
      </c>
      <c r="K24" s="8">
        <f>J24-I24</f>
        <v>-1311.51142</v>
      </c>
      <c r="L24" s="9">
        <f>J24/I24-1</f>
        <v>-0.84898272687666632</v>
      </c>
    </row>
    <row r="25" spans="2:12" x14ac:dyDescent="0.15">
      <c r="B25" s="1" t="s">
        <v>27</v>
      </c>
      <c r="C25" s="6">
        <f>SUM(C22:C24)+C20</f>
        <v>-15434.558324718484</v>
      </c>
      <c r="D25" s="6">
        <f>SUM(D22:D24)+D20</f>
        <v>27049.371350870875</v>
      </c>
      <c r="E25" s="6">
        <f>D25-C25</f>
        <v>42483.929675589359</v>
      </c>
      <c r="F25" s="7">
        <f>D25/C25-1</f>
        <v>-2.7525199478854692</v>
      </c>
      <c r="H25" s="1" t="s">
        <v>28</v>
      </c>
      <c r="I25" s="6">
        <f>SUM(I22:I24)+I20</f>
        <v>27049.371350870875</v>
      </c>
      <c r="J25" s="6">
        <f>SUM(J22:J24)+J20</f>
        <v>47439.476923127891</v>
      </c>
      <c r="K25" s="6">
        <f>J25-I25</f>
        <v>20390.105572257016</v>
      </c>
      <c r="L25" s="7">
        <f>J25/I25-1</f>
        <v>0.75381070072819045</v>
      </c>
    </row>
    <row r="26" spans="2:12" x14ac:dyDescent="0.15">
      <c r="C26" s="6"/>
      <c r="D26" s="6"/>
      <c r="E26" s="6"/>
      <c r="F26" s="7"/>
      <c r="I26" s="6"/>
      <c r="J26" s="6"/>
      <c r="K26" s="6"/>
      <c r="L26" s="7"/>
    </row>
    <row r="27" spans="2:12" x14ac:dyDescent="0.15">
      <c r="B27" s="1" t="s">
        <v>29</v>
      </c>
    </row>
    <row r="28" spans="2:12" x14ac:dyDescent="0.15">
      <c r="D28" s="10"/>
      <c r="E28" s="10">
        <f>E14/E8</f>
        <v>0.61499543269338908</v>
      </c>
      <c r="H28" s="1" t="s">
        <v>29</v>
      </c>
      <c r="K28" s="10">
        <f>K14/K8</f>
        <v>-0.12337475026297572</v>
      </c>
    </row>
  </sheetData>
  <mergeCells count="2">
    <mergeCell ref="E6:F6"/>
    <mergeCell ref="K6:L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D5A63-566E-1D4A-84BB-FDE46BDF9F4C}">
  <dimension ref="A1:M29"/>
  <sheetViews>
    <sheetView topLeftCell="B2" workbookViewId="0">
      <selection activeCell="B4" sqref="B4"/>
    </sheetView>
  </sheetViews>
  <sheetFormatPr baseColWidth="10" defaultColWidth="9.1640625" defaultRowHeight="14" x14ac:dyDescent="0.15"/>
  <cols>
    <col min="1" max="1" width="0" style="1" hidden="1" customWidth="1"/>
    <col min="2" max="2" width="29.33203125" style="1" bestFit="1" customWidth="1"/>
    <col min="3" max="4" width="9.1640625" style="1" bestFit="1"/>
    <col min="5" max="6" width="10" style="1" customWidth="1"/>
    <col min="7" max="7" width="6.5" style="1" customWidth="1"/>
    <col min="8" max="8" width="29.33203125" style="1" customWidth="1"/>
    <col min="9" max="9" width="9.1640625" style="1"/>
    <col min="10" max="11" width="9.1640625" style="1" bestFit="1"/>
    <col min="12" max="13" width="8.6640625" style="1" customWidth="1"/>
    <col min="14" max="16384" width="9.1640625" style="1"/>
  </cols>
  <sheetData>
    <row r="1" spans="1:13" hidden="1" x14ac:dyDescent="0.15">
      <c r="A1" s="1" t="s">
        <v>0</v>
      </c>
    </row>
    <row r="2" spans="1:13" x14ac:dyDescent="0.15">
      <c r="B2" s="1" t="s">
        <v>30</v>
      </c>
    </row>
    <row r="7" spans="1:13" x14ac:dyDescent="0.15">
      <c r="E7" s="2" t="s">
        <v>31</v>
      </c>
      <c r="F7" s="2"/>
      <c r="K7" s="2" t="s">
        <v>2</v>
      </c>
      <c r="L7" s="2"/>
    </row>
    <row r="8" spans="1:13" x14ac:dyDescent="0.15">
      <c r="B8" s="3"/>
      <c r="C8" s="4" t="s">
        <v>32</v>
      </c>
      <c r="D8" s="4" t="s">
        <v>4</v>
      </c>
      <c r="E8" s="4" t="s">
        <v>5</v>
      </c>
      <c r="F8" s="4" t="s">
        <v>6</v>
      </c>
      <c r="G8" s="5"/>
      <c r="H8" s="3"/>
      <c r="I8" s="4" t="s">
        <v>4</v>
      </c>
      <c r="J8" s="4" t="s">
        <v>7</v>
      </c>
      <c r="K8" s="4" t="s">
        <v>5</v>
      </c>
      <c r="L8" s="4" t="s">
        <v>6</v>
      </c>
      <c r="M8" s="5"/>
    </row>
    <row r="9" spans="1:13" x14ac:dyDescent="0.15">
      <c r="B9" s="3" t="s">
        <v>8</v>
      </c>
      <c r="C9" s="6">
        <f>[1]Sheet1!B5/1000</f>
        <v>3226.8380000000002</v>
      </c>
      <c r="D9" s="6">
        <f>[1]Sheet1!D5/1000</f>
        <v>26005.345249999998</v>
      </c>
      <c r="E9" s="6">
        <f>D9-C9</f>
        <v>22778.507249999999</v>
      </c>
      <c r="F9" s="7">
        <f>D9/C9-1</f>
        <v>7.0590798949311981</v>
      </c>
      <c r="H9" s="3" t="s">
        <v>8</v>
      </c>
      <c r="I9" s="6">
        <f>D9</f>
        <v>26005.345249999998</v>
      </c>
      <c r="J9" s="6">
        <f>[1]Sheet1!F5/1000</f>
        <v>163876.984</v>
      </c>
      <c r="K9" s="6">
        <f>J9-I9</f>
        <v>137871.63874999998</v>
      </c>
      <c r="L9" s="7">
        <f>J9/I9-1</f>
        <v>5.3016653855037745</v>
      </c>
    </row>
    <row r="10" spans="1:13" ht="15" x14ac:dyDescent="0.15">
      <c r="B10" s="3" t="s">
        <v>9</v>
      </c>
      <c r="C10" s="8">
        <f>[1]Sheet1!B9/1000</f>
        <v>3054.7260000000001</v>
      </c>
      <c r="D10" s="8">
        <f>[1]Sheet1!D9/1000</f>
        <v>24635.959708500002</v>
      </c>
      <c r="E10" s="8">
        <f>D10-C10</f>
        <v>21581.233708500004</v>
      </c>
      <c r="F10" s="9">
        <f t="shared" ref="F10:F11" si="0">D10/C10-1</f>
        <v>7.0648672609261851</v>
      </c>
      <c r="H10" s="3" t="s">
        <v>9</v>
      </c>
      <c r="I10" s="8">
        <f>D10</f>
        <v>24635.959708500002</v>
      </c>
      <c r="J10" s="8">
        <f>[1]Sheet1!F9/1000</f>
        <v>113815.59723658235</v>
      </c>
      <c r="K10" s="8">
        <f>J10-I10</f>
        <v>89179.637528082356</v>
      </c>
      <c r="L10" s="9">
        <f t="shared" ref="L10:L11" si="1">J10/I10-1</f>
        <v>3.6198970360108689</v>
      </c>
    </row>
    <row r="11" spans="1:13" x14ac:dyDescent="0.15">
      <c r="B11" s="3" t="s">
        <v>10</v>
      </c>
      <c r="C11" s="6">
        <f>C9-C10</f>
        <v>172.11200000000008</v>
      </c>
      <c r="D11" s="6">
        <f>D9-D10</f>
        <v>1369.3855414999962</v>
      </c>
      <c r="E11" s="6">
        <f>E9-E10</f>
        <v>1197.2735414999952</v>
      </c>
      <c r="F11" s="7">
        <f t="shared" si="0"/>
        <v>6.9563629584223969</v>
      </c>
      <c r="H11" s="3" t="s">
        <v>10</v>
      </c>
      <c r="I11" s="6">
        <f>I9-I10</f>
        <v>1369.3855414999962</v>
      </c>
      <c r="J11" s="6">
        <f>J9-J10</f>
        <v>50061.386763417642</v>
      </c>
      <c r="K11" s="6">
        <f>K9-K10</f>
        <v>48692.001221917628</v>
      </c>
      <c r="L11" s="7">
        <f t="shared" si="1"/>
        <v>35.557554644969777</v>
      </c>
    </row>
    <row r="12" spans="1:13" x14ac:dyDescent="0.15">
      <c r="B12" s="3" t="s">
        <v>11</v>
      </c>
      <c r="C12" s="10">
        <f>C11/C9</f>
        <v>5.3337663681907822E-2</v>
      </c>
      <c r="D12" s="10">
        <f>D11/D9</f>
        <v>5.2657848928192801E-2</v>
      </c>
      <c r="H12" s="3" t="s">
        <v>11</v>
      </c>
      <c r="I12" s="10">
        <f>I11/I9</f>
        <v>5.2657848928192801E-2</v>
      </c>
      <c r="J12" s="10">
        <f>J11/J9</f>
        <v>0.30548149924102608</v>
      </c>
    </row>
    <row r="13" spans="1:13" ht="15" x14ac:dyDescent="0.15">
      <c r="B13" s="3" t="s">
        <v>12</v>
      </c>
      <c r="C13" s="6">
        <f>[1]Sheet1!B15/1000</f>
        <v>840.29</v>
      </c>
      <c r="D13" s="6">
        <f>[1]Sheet1!D15/1000</f>
        <v>3560.4769999999999</v>
      </c>
      <c r="E13" s="6">
        <f>D13-C13</f>
        <v>2720.1869999999999</v>
      </c>
      <c r="F13" s="7">
        <f>D13/C13-1</f>
        <v>3.2372002522938512</v>
      </c>
      <c r="H13" s="3" t="s">
        <v>12</v>
      </c>
      <c r="I13" s="6">
        <f>D13</f>
        <v>3560.4769999999999</v>
      </c>
      <c r="J13" s="6">
        <f>[1]Sheet1!F15/1000</f>
        <v>4217.2086153205983</v>
      </c>
      <c r="K13" s="6">
        <f>J13-I13</f>
        <v>656.73161532059839</v>
      </c>
      <c r="L13" s="7">
        <f>J13/I13-1</f>
        <v>0.18445045855389552</v>
      </c>
    </row>
    <row r="14" spans="1:13" x14ac:dyDescent="0.15">
      <c r="B14" s="3" t="s">
        <v>13</v>
      </c>
      <c r="C14" s="10">
        <f>C13/C9</f>
        <v>0.26040662716876395</v>
      </c>
      <c r="D14" s="10">
        <f>D13/D9</f>
        <v>0.1369132755505332</v>
      </c>
      <c r="H14" s="3" t="s">
        <v>13</v>
      </c>
      <c r="I14" s="10">
        <f>I13/I9</f>
        <v>0.1369132755505332</v>
      </c>
      <c r="J14" s="10">
        <f>J13/J9</f>
        <v>2.5733989681678535E-2</v>
      </c>
    </row>
    <row r="15" spans="1:13" x14ac:dyDescent="0.15">
      <c r="B15" s="3" t="s">
        <v>14</v>
      </c>
      <c r="C15" s="6">
        <f>[1]Sheet1!B35/1000</f>
        <v>-668.178</v>
      </c>
      <c r="D15" s="6">
        <f>[1]Sheet1!D35/1000</f>
        <v>-2191.0914585000014</v>
      </c>
      <c r="E15" s="6">
        <f>D15-C15</f>
        <v>-1522.9134585000015</v>
      </c>
      <c r="F15" s="7">
        <f>D15/C15-1</f>
        <v>2.2792032340184822</v>
      </c>
      <c r="H15" s="3" t="s">
        <v>14</v>
      </c>
      <c r="I15" s="6">
        <f>I11-I13+I24</f>
        <v>-2191.0914585000037</v>
      </c>
      <c r="J15" s="6">
        <f>[1]Sheet1!F35/1000</f>
        <v>45821.484814763709</v>
      </c>
      <c r="K15" s="6">
        <f>J15-I15</f>
        <v>48012.576273263716</v>
      </c>
      <c r="L15" s="7">
        <f>J15/I15-1</f>
        <v>-21.912629930168492</v>
      </c>
    </row>
    <row r="16" spans="1:13" x14ac:dyDescent="0.15">
      <c r="B16" s="3" t="s">
        <v>15</v>
      </c>
      <c r="C16" s="7">
        <f>C15/C9</f>
        <v>-0.20706896348685616</v>
      </c>
      <c r="D16" s="7">
        <f>D15/D9</f>
        <v>-8.4255426622340326E-2</v>
      </c>
      <c r="H16" s="3" t="s">
        <v>15</v>
      </c>
      <c r="I16" s="7">
        <f>I15/I9</f>
        <v>-8.425542662234041E-2</v>
      </c>
      <c r="J16" s="7">
        <f>J15/J9</f>
        <v>0.27960903170370593</v>
      </c>
    </row>
    <row r="17" spans="2:12" x14ac:dyDescent="0.15">
      <c r="B17" s="3" t="s">
        <v>16</v>
      </c>
      <c r="C17" s="6">
        <f>[1]Sheet1!B18/1000</f>
        <v>-668.178</v>
      </c>
      <c r="D17" s="6">
        <f>[1]Sheet1!D18/1000</f>
        <v>-2191.0914585000014</v>
      </c>
      <c r="E17" s="6">
        <f>D17-C17</f>
        <v>-1522.9134585000015</v>
      </c>
      <c r="F17" s="7">
        <f>D17/C17-1</f>
        <v>2.2792032340184822</v>
      </c>
      <c r="H17" s="3" t="s">
        <v>16</v>
      </c>
      <c r="I17" s="6">
        <f>I11-I13</f>
        <v>-2191.0914585000037</v>
      </c>
      <c r="J17" s="6">
        <f>[1]Sheet1!F18/1000</f>
        <v>45844.178148097046</v>
      </c>
      <c r="K17" s="6">
        <f>J17-I17</f>
        <v>48035.269606597052</v>
      </c>
      <c r="L17" s="7">
        <f>J17/I17-1</f>
        <v>-21.922987021035375</v>
      </c>
    </row>
    <row r="18" spans="2:12" x14ac:dyDescent="0.15">
      <c r="B18" s="3" t="s">
        <v>17</v>
      </c>
      <c r="C18" s="7">
        <f>C17/C9</f>
        <v>-0.20706896348685616</v>
      </c>
      <c r="D18" s="7">
        <f>D17/D9</f>
        <v>-8.4255426622340326E-2</v>
      </c>
      <c r="H18" s="3" t="s">
        <v>17</v>
      </c>
      <c r="I18" s="7">
        <f>I17/I9</f>
        <v>-8.425542662234041E-2</v>
      </c>
      <c r="J18" s="10">
        <f>J17/J9</f>
        <v>0.27974750955934757</v>
      </c>
    </row>
    <row r="19" spans="2:12" x14ac:dyDescent="0.15">
      <c r="B19" s="3" t="s">
        <v>18</v>
      </c>
      <c r="C19" s="6">
        <f>[1]Sheet1!B24/1000</f>
        <v>0</v>
      </c>
      <c r="D19" s="6">
        <f>[1]Sheet1!D24/1000</f>
        <v>-22.693333333333332</v>
      </c>
      <c r="E19" s="6">
        <f>D19-C19</f>
        <v>-22.693333333333332</v>
      </c>
      <c r="F19" s="11" t="s">
        <v>19</v>
      </c>
      <c r="H19" s="3" t="s">
        <v>18</v>
      </c>
      <c r="I19" s="6">
        <f>D19</f>
        <v>-22.693333333333332</v>
      </c>
      <c r="J19" s="6">
        <f>[1]Sheet1!F24/1000</f>
        <v>-22.693333333333332</v>
      </c>
      <c r="K19" s="6">
        <f>J19-I19</f>
        <v>0</v>
      </c>
      <c r="L19" s="7">
        <f>J19/I19-1</f>
        <v>0</v>
      </c>
    </row>
    <row r="20" spans="2:12" x14ac:dyDescent="0.15">
      <c r="B20" s="3" t="s">
        <v>21</v>
      </c>
      <c r="C20" s="6">
        <f>[1]Sheet1!B32/1000</f>
        <v>-668.178</v>
      </c>
      <c r="D20" s="6">
        <f>[1]Sheet1!D32/1000</f>
        <v>-2213.784791833335</v>
      </c>
      <c r="E20" s="6">
        <f>D20-C20</f>
        <v>-1545.6067918333351</v>
      </c>
      <c r="F20" s="7">
        <f>D20/C20-1</f>
        <v>2.3131662398841852</v>
      </c>
      <c r="H20" s="3" t="s">
        <v>21</v>
      </c>
      <c r="I20" s="6">
        <f>I17-I19</f>
        <v>-2168.3981251666705</v>
      </c>
      <c r="J20" s="6">
        <f>[1]Sheet1!F32/1000</f>
        <v>41237.067814763708</v>
      </c>
      <c r="K20" s="6">
        <f>J20-I20</f>
        <v>43405.465939930378</v>
      </c>
      <c r="L20" s="7">
        <f>J20/I20-1</f>
        <v>-20.01729545702964</v>
      </c>
    </row>
    <row r="21" spans="2:12" x14ac:dyDescent="0.15">
      <c r="B21" s="3" t="s">
        <v>22</v>
      </c>
      <c r="C21" s="7">
        <f>C20/C9</f>
        <v>-0.20706896348685616</v>
      </c>
      <c r="D21" s="7">
        <f>D20/D9</f>
        <v>-8.5128067731895823E-2</v>
      </c>
      <c r="H21" s="3" t="s">
        <v>22</v>
      </c>
      <c r="I21" s="7">
        <f>I20/I9</f>
        <v>-8.338278551278494E-2</v>
      </c>
      <c r="J21" s="10">
        <f>J20/J9</f>
        <v>0.25163428571985258</v>
      </c>
    </row>
    <row r="22" spans="2:12" x14ac:dyDescent="0.15">
      <c r="B22" s="3" t="s">
        <v>23</v>
      </c>
      <c r="C22" s="6">
        <v>0</v>
      </c>
      <c r="D22" s="6">
        <v>0</v>
      </c>
      <c r="E22" s="6">
        <f>D22-C22</f>
        <v>0</v>
      </c>
      <c r="F22" s="7">
        <v>0</v>
      </c>
      <c r="H22" s="3" t="s">
        <v>23</v>
      </c>
      <c r="I22" s="6">
        <f>D22</f>
        <v>0</v>
      </c>
      <c r="J22" s="6">
        <v>0</v>
      </c>
      <c r="K22" s="6">
        <f>J22-I22</f>
        <v>0</v>
      </c>
      <c r="L22" s="7">
        <v>0</v>
      </c>
    </row>
    <row r="23" spans="2:12" x14ac:dyDescent="0.15">
      <c r="B23" s="3" t="s">
        <v>33</v>
      </c>
      <c r="C23" s="6">
        <v>0</v>
      </c>
      <c r="D23" s="6">
        <f>[1]Sheet1!D100/1000</f>
        <v>-3773.8129552068954</v>
      </c>
      <c r="E23" s="6">
        <f>D23-C23</f>
        <v>-3773.8129552068954</v>
      </c>
      <c r="F23" s="11" t="s">
        <v>19</v>
      </c>
      <c r="H23" s="3" t="s">
        <v>33</v>
      </c>
      <c r="I23" s="6">
        <f>D23</f>
        <v>-3773.8129552068954</v>
      </c>
      <c r="J23" s="6">
        <f>[1]Sheet1!F100/1000</f>
        <v>-8897.3788259386929</v>
      </c>
      <c r="K23" s="6">
        <f>J23-I23</f>
        <v>-5123.565870731798</v>
      </c>
      <c r="L23" s="11" t="s">
        <v>19</v>
      </c>
    </row>
    <row r="24" spans="2:12" x14ac:dyDescent="0.15">
      <c r="B24" s="1" t="s">
        <v>26</v>
      </c>
      <c r="C24" s="8">
        <v>0</v>
      </c>
      <c r="D24" s="8">
        <v>0</v>
      </c>
      <c r="E24" s="8">
        <f>D24-C24</f>
        <v>0</v>
      </c>
      <c r="F24" s="12" t="s">
        <v>24</v>
      </c>
      <c r="H24" s="1" t="s">
        <v>26</v>
      </c>
      <c r="I24" s="8">
        <f>D24</f>
        <v>0</v>
      </c>
      <c r="J24" s="8">
        <v>0</v>
      </c>
      <c r="K24" s="8">
        <f>J24-I24</f>
        <v>0</v>
      </c>
      <c r="L24" s="12" t="s">
        <v>24</v>
      </c>
    </row>
    <row r="25" spans="2:12" x14ac:dyDescent="0.15">
      <c r="B25" s="1" t="s">
        <v>28</v>
      </c>
      <c r="C25" s="6">
        <f>SUM(C22:C24)+C20</f>
        <v>-668.178</v>
      </c>
      <c r="D25" s="6">
        <f>SUM(D22:D24)+D20</f>
        <v>-5987.5977470402304</v>
      </c>
      <c r="E25" s="6">
        <f>D25-C25</f>
        <v>-5319.4197470402305</v>
      </c>
      <c r="F25" s="7">
        <f>D25/C25-1</f>
        <v>7.9610818480109042</v>
      </c>
      <c r="H25" s="1" t="s">
        <v>28</v>
      </c>
      <c r="I25" s="6">
        <f>SUM(I22:I24)+I20</f>
        <v>-5942.2110803735659</v>
      </c>
      <c r="J25" s="6">
        <f>SUM(J22:J24)+J20</f>
        <v>32339.688988825015</v>
      </c>
      <c r="K25" s="6">
        <f>J25-I25</f>
        <v>38281.900069198578</v>
      </c>
      <c r="L25" s="7">
        <f>J25/I25-1</f>
        <v>-6.4423662423637653</v>
      </c>
    </row>
    <row r="27" spans="2:12" x14ac:dyDescent="0.15">
      <c r="B27" s="1" t="s">
        <v>29</v>
      </c>
      <c r="H27" s="1" t="s">
        <v>29</v>
      </c>
    </row>
    <row r="29" spans="2:12" x14ac:dyDescent="0.15">
      <c r="E29" s="10">
        <f>E15/E9</f>
        <v>-6.6857474099844785E-2</v>
      </c>
      <c r="H29" s="1" t="s">
        <v>29</v>
      </c>
      <c r="K29" s="10">
        <f>K15/K9</f>
        <v>0.34824113725320988</v>
      </c>
    </row>
  </sheetData>
  <mergeCells count="2">
    <mergeCell ref="E7:F7"/>
    <mergeCell ref="K7:L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8A5B5-BD43-1045-8B4E-BF080006B6AB}">
  <dimension ref="A1:M30"/>
  <sheetViews>
    <sheetView topLeftCell="B1" workbookViewId="0">
      <selection activeCell="B2" sqref="B2"/>
    </sheetView>
  </sheetViews>
  <sheetFormatPr baseColWidth="10" defaultColWidth="9.1640625" defaultRowHeight="14" x14ac:dyDescent="0.15"/>
  <cols>
    <col min="1" max="1" width="0" style="1" hidden="1" customWidth="1"/>
    <col min="2" max="2" width="29.33203125" style="1" bestFit="1" customWidth="1"/>
    <col min="3" max="4" width="9.1640625" style="1" bestFit="1"/>
    <col min="5" max="6" width="10.83203125" style="1" customWidth="1"/>
    <col min="7" max="7" width="6.5" style="1" customWidth="1"/>
    <col min="8" max="8" width="29.33203125" style="1" customWidth="1"/>
    <col min="9" max="9" width="9.1640625" style="1"/>
    <col min="10" max="10" width="9.1640625" style="1" bestFit="1"/>
    <col min="11" max="13" width="8.6640625" style="1" customWidth="1"/>
    <col min="14" max="16384" width="9.1640625" style="1"/>
  </cols>
  <sheetData>
    <row r="1" spans="1:13" x14ac:dyDescent="0.15">
      <c r="A1" s="1" t="s">
        <v>0</v>
      </c>
    </row>
    <row r="2" spans="1:13" x14ac:dyDescent="0.15">
      <c r="B2" s="1" t="s">
        <v>34</v>
      </c>
    </row>
    <row r="7" spans="1:13" x14ac:dyDescent="0.15">
      <c r="E7" s="2" t="s">
        <v>31</v>
      </c>
      <c r="F7" s="2"/>
      <c r="K7" s="2" t="s">
        <v>2</v>
      </c>
      <c r="L7" s="2"/>
    </row>
    <row r="8" spans="1:13" x14ac:dyDescent="0.15">
      <c r="B8" s="3"/>
      <c r="C8" s="4" t="s">
        <v>32</v>
      </c>
      <c r="D8" s="4" t="s">
        <v>4</v>
      </c>
      <c r="E8" s="4" t="s">
        <v>5</v>
      </c>
      <c r="F8" s="4" t="s">
        <v>6</v>
      </c>
      <c r="G8" s="5"/>
      <c r="H8" s="3"/>
      <c r="I8" s="4" t="s">
        <v>4</v>
      </c>
      <c r="J8" s="4" t="s">
        <v>7</v>
      </c>
      <c r="K8" s="4" t="s">
        <v>5</v>
      </c>
      <c r="L8" s="4" t="s">
        <v>6</v>
      </c>
      <c r="M8" s="5"/>
    </row>
    <row r="9" spans="1:13" x14ac:dyDescent="0.15">
      <c r="B9" s="3" t="s">
        <v>8</v>
      </c>
      <c r="C9" s="6">
        <v>7896.7209999999995</v>
      </c>
      <c r="D9" s="6">
        <v>7924.3745699999999</v>
      </c>
      <c r="E9" s="6">
        <v>27.6535700000004</v>
      </c>
      <c r="F9" s="7">
        <v>3.5019054111193881E-3</v>
      </c>
      <c r="H9" s="3" t="s">
        <v>8</v>
      </c>
      <c r="I9" s="6">
        <v>7924.3745699999999</v>
      </c>
      <c r="J9" s="6">
        <v>16599.781079813238</v>
      </c>
      <c r="K9" s="6">
        <v>8675.4065098132378</v>
      </c>
      <c r="L9" s="7">
        <v>1.094774916705286</v>
      </c>
    </row>
    <row r="10" spans="1:13" x14ac:dyDescent="0.15">
      <c r="B10" s="3" t="s">
        <v>35</v>
      </c>
      <c r="C10" s="8">
        <v>5727.9080000000004</v>
      </c>
      <c r="D10" s="8">
        <v>6066.0757788929268</v>
      </c>
      <c r="E10" s="8">
        <v>338.16777889292644</v>
      </c>
      <c r="F10" s="9">
        <v>5.9038619142089299E-2</v>
      </c>
      <c r="H10" s="3" t="s">
        <v>35</v>
      </c>
      <c r="I10" s="8">
        <v>6066.0757788929268</v>
      </c>
      <c r="J10" s="8">
        <v>12846.337</v>
      </c>
      <c r="K10" s="8">
        <v>6780.2612211070727</v>
      </c>
      <c r="L10" s="9">
        <v>1.117734342307291</v>
      </c>
    </row>
    <row r="11" spans="1:13" x14ac:dyDescent="0.15">
      <c r="B11" s="3" t="s">
        <v>10</v>
      </c>
      <c r="C11" s="6">
        <v>2168.8129999999992</v>
      </c>
      <c r="D11" s="6">
        <v>1858.2987911070732</v>
      </c>
      <c r="E11" s="6">
        <v>-310.51420889292604</v>
      </c>
      <c r="F11" s="7">
        <v>-0.1431724214549277</v>
      </c>
      <c r="H11" s="3" t="s">
        <v>10</v>
      </c>
      <c r="I11" s="6">
        <v>1858.2987911070732</v>
      </c>
      <c r="J11" s="6">
        <v>3753.4440798132382</v>
      </c>
      <c r="K11" s="6">
        <v>1895.145288706165</v>
      </c>
      <c r="L11" s="7">
        <v>1.0198280802718172</v>
      </c>
    </row>
    <row r="12" spans="1:13" x14ac:dyDescent="0.15">
      <c r="B12" s="3" t="s">
        <v>11</v>
      </c>
      <c r="C12" s="10">
        <v>0.27464728714614578</v>
      </c>
      <c r="D12" s="10">
        <v>0.23450415861741292</v>
      </c>
      <c r="H12" s="3" t="s">
        <v>11</v>
      </c>
      <c r="I12" s="10">
        <v>0.23450415861741292</v>
      </c>
      <c r="J12" s="10">
        <v>0.22611407112939275</v>
      </c>
    </row>
    <row r="13" spans="1:13" x14ac:dyDescent="0.15">
      <c r="B13" s="3" t="s">
        <v>36</v>
      </c>
      <c r="C13" s="6">
        <v>2363.5540000000001</v>
      </c>
      <c r="D13" s="6">
        <v>3233.1469999999999</v>
      </c>
      <c r="E13" s="6">
        <v>869.59299999999985</v>
      </c>
      <c r="F13" s="7">
        <v>0.36791755128082526</v>
      </c>
      <c r="H13" s="3" t="s">
        <v>36</v>
      </c>
      <c r="I13" s="6">
        <v>3233.1469999999999</v>
      </c>
      <c r="J13" s="6">
        <v>2940.0516699999998</v>
      </c>
      <c r="K13" s="6">
        <v>-293.0953300000001</v>
      </c>
      <c r="L13" s="7">
        <v>-9.0653264451013293E-2</v>
      </c>
    </row>
    <row r="14" spans="1:13" x14ac:dyDescent="0.15">
      <c r="B14" s="3" t="s">
        <v>13</v>
      </c>
      <c r="C14" s="10">
        <v>0.29930828251371677</v>
      </c>
      <c r="D14" s="10">
        <v>0.40800027452513515</v>
      </c>
      <c r="H14" s="3" t="s">
        <v>13</v>
      </c>
      <c r="I14" s="10">
        <v>0.40800027452513515</v>
      </c>
      <c r="J14" s="10">
        <v>0.17711388215687709</v>
      </c>
    </row>
    <row r="15" spans="1:13" x14ac:dyDescent="0.15">
      <c r="B15" s="3" t="s">
        <v>14</v>
      </c>
      <c r="C15" s="6">
        <v>-98.027000000000001</v>
      </c>
      <c r="D15" s="6">
        <v>-379.6972088929266</v>
      </c>
      <c r="E15" s="6">
        <v>-281.67020889292661</v>
      </c>
      <c r="F15" s="7">
        <v>2.8733941556196414</v>
      </c>
      <c r="H15" s="3" t="s">
        <v>14</v>
      </c>
      <c r="I15" s="6">
        <v>-379.69720889292682</v>
      </c>
      <c r="J15" s="6">
        <v>2011.8914098132364</v>
      </c>
      <c r="K15" s="6">
        <v>2391.5886187061633</v>
      </c>
      <c r="L15" s="7">
        <v>-6.2986731603301882</v>
      </c>
    </row>
    <row r="16" spans="1:13" x14ac:dyDescent="0.15">
      <c r="B16" s="3" t="s">
        <v>15</v>
      </c>
      <c r="C16" s="7">
        <v>-1.2413633456215562E-2</v>
      </c>
      <c r="D16" s="7">
        <v>-4.7915101127397441E-2</v>
      </c>
      <c r="H16" s="3" t="s">
        <v>15</v>
      </c>
      <c r="I16" s="10">
        <v>-4.7915101127397469E-2</v>
      </c>
      <c r="J16" s="10">
        <v>0.12119987607908091</v>
      </c>
    </row>
    <row r="17" spans="2:12" x14ac:dyDescent="0.15">
      <c r="B17" s="3" t="s">
        <v>16</v>
      </c>
      <c r="C17" s="6">
        <v>-194.74100000000001</v>
      </c>
      <c r="D17" s="6">
        <v>-1374.8482088929268</v>
      </c>
      <c r="E17" s="6">
        <v>-1180.1072088929268</v>
      </c>
      <c r="F17" s="7">
        <v>6.0598806049723821</v>
      </c>
      <c r="H17" s="3" t="s">
        <v>16</v>
      </c>
      <c r="I17" s="6">
        <v>-1374.8482088929268</v>
      </c>
      <c r="J17" s="6">
        <v>813.39240981323644</v>
      </c>
      <c r="K17" s="6">
        <v>2188.2406187061633</v>
      </c>
      <c r="L17" s="7">
        <v>-1.5916234276278447</v>
      </c>
    </row>
    <row r="18" spans="2:12" x14ac:dyDescent="0.15">
      <c r="B18" s="3" t="s">
        <v>17</v>
      </c>
      <c r="C18" s="7">
        <v>-2.4660995367570923E-2</v>
      </c>
      <c r="D18" s="7">
        <v>-0.17349611590772226</v>
      </c>
      <c r="H18" s="3" t="s">
        <v>17</v>
      </c>
      <c r="I18" s="10">
        <v>-0.17349611590772226</v>
      </c>
      <c r="J18" s="10">
        <v>4.9000188972515527E-2</v>
      </c>
    </row>
    <row r="19" spans="2:12" x14ac:dyDescent="0.15">
      <c r="B19" s="3" t="s">
        <v>18</v>
      </c>
      <c r="C19" s="6">
        <v>-0.18</v>
      </c>
      <c r="D19" s="6">
        <v>-8.9746666666666659</v>
      </c>
      <c r="E19" s="6">
        <v>-8.7946666666666662</v>
      </c>
      <c r="F19" s="7">
        <v>48.859259259259254</v>
      </c>
      <c r="H19" s="3" t="s">
        <v>18</v>
      </c>
      <c r="I19" s="6">
        <v>-8.9746666666666659</v>
      </c>
      <c r="J19" s="6">
        <v>-8.9746666666666659</v>
      </c>
      <c r="K19" s="6">
        <v>0</v>
      </c>
      <c r="L19" s="7">
        <v>0</v>
      </c>
    </row>
    <row r="20" spans="2:12" x14ac:dyDescent="0.15">
      <c r="B20" s="3" t="s">
        <v>21</v>
      </c>
      <c r="C20" s="6">
        <v>-477.53899999999999</v>
      </c>
      <c r="D20" s="6">
        <v>-1365.87354222626</v>
      </c>
      <c r="E20" s="6">
        <v>-888.33454222626006</v>
      </c>
      <c r="F20" s="7">
        <v>1.860234540479961</v>
      </c>
      <c r="H20" s="3" t="s">
        <v>21</v>
      </c>
      <c r="I20" s="6">
        <v>-1365.87354222626</v>
      </c>
      <c r="J20" s="6">
        <v>601.06974314656986</v>
      </c>
      <c r="K20" s="6">
        <v>1966.9432853728299</v>
      </c>
      <c r="L20" s="7">
        <v>-1.440062512790808</v>
      </c>
    </row>
    <row r="21" spans="2:12" x14ac:dyDescent="0.15">
      <c r="B21" s="3" t="s">
        <v>22</v>
      </c>
      <c r="C21" s="7">
        <v>-6.0473074837011462E-2</v>
      </c>
      <c r="D21" s="7">
        <v>-0.17236357647670611</v>
      </c>
      <c r="H21" s="3" t="s">
        <v>22</v>
      </c>
      <c r="I21" s="10">
        <v>-0.17236357647670611</v>
      </c>
      <c r="J21" s="10">
        <v>3.6209498201004733E-2</v>
      </c>
    </row>
    <row r="22" spans="2:12" x14ac:dyDescent="0.15">
      <c r="B22" s="3" t="s">
        <v>23</v>
      </c>
      <c r="C22" s="6">
        <v>0</v>
      </c>
      <c r="D22" s="6">
        <v>0</v>
      </c>
      <c r="E22" s="6">
        <v>0</v>
      </c>
      <c r="F22" s="7" t="s">
        <v>24</v>
      </c>
      <c r="H22" s="3" t="s">
        <v>23</v>
      </c>
      <c r="I22" s="6">
        <v>0</v>
      </c>
      <c r="J22" s="6">
        <v>0</v>
      </c>
      <c r="K22" s="6">
        <v>0</v>
      </c>
      <c r="L22" s="7">
        <v>0</v>
      </c>
    </row>
    <row r="23" spans="2:12" x14ac:dyDescent="0.15">
      <c r="B23" s="3" t="s">
        <v>33</v>
      </c>
      <c r="C23" s="6">
        <v>0</v>
      </c>
      <c r="D23" s="6">
        <v>-140.34210867242516</v>
      </c>
      <c r="E23" s="13" t="s">
        <v>24</v>
      </c>
      <c r="F23" s="11" t="s">
        <v>24</v>
      </c>
      <c r="H23" s="3" t="s">
        <v>33</v>
      </c>
      <c r="I23" s="6">
        <v>-140.34210867242516</v>
      </c>
      <c r="J23" s="6">
        <v>-3360.3164449903061</v>
      </c>
      <c r="K23" s="6">
        <v>-3219.9743363178809</v>
      </c>
      <c r="L23" s="7">
        <v>22.943750573348421</v>
      </c>
    </row>
    <row r="24" spans="2:12" x14ac:dyDescent="0.15">
      <c r="B24" s="1" t="s">
        <v>26</v>
      </c>
      <c r="C24" s="8">
        <v>87.572000000000003</v>
      </c>
      <c r="D24" s="8">
        <v>995.15099999999995</v>
      </c>
      <c r="E24" s="8">
        <v>907.57899999999995</v>
      </c>
      <c r="F24" s="9">
        <v>10.363803498835244</v>
      </c>
      <c r="H24" s="1" t="s">
        <v>26</v>
      </c>
      <c r="I24" s="8">
        <v>995.15099999999995</v>
      </c>
      <c r="J24" s="8">
        <v>995.15099999999995</v>
      </c>
      <c r="K24" s="8">
        <v>0</v>
      </c>
      <c r="L24" s="9">
        <v>0</v>
      </c>
    </row>
    <row r="25" spans="2:12" x14ac:dyDescent="0.15">
      <c r="B25" s="1" t="s">
        <v>28</v>
      </c>
      <c r="C25" s="6">
        <v>-389.96699999999998</v>
      </c>
      <c r="D25" s="6">
        <v>-511.06465089868527</v>
      </c>
      <c r="E25" s="6">
        <v>-121.09765089868529</v>
      </c>
      <c r="F25" s="7">
        <v>0.31053307305152811</v>
      </c>
      <c r="H25" s="1" t="s">
        <v>28</v>
      </c>
      <c r="I25" s="6">
        <v>-511.06465089868527</v>
      </c>
      <c r="J25" s="6">
        <v>-1764.0957018437364</v>
      </c>
      <c r="K25" s="6">
        <v>-1253.031050945051</v>
      </c>
      <c r="L25" s="7">
        <v>2.4518053611057815</v>
      </c>
    </row>
    <row r="27" spans="2:12" x14ac:dyDescent="0.15">
      <c r="B27" s="1" t="s">
        <v>29</v>
      </c>
      <c r="H27" s="1" t="s">
        <v>29</v>
      </c>
    </row>
    <row r="29" spans="2:12" x14ac:dyDescent="0.15">
      <c r="E29" s="10">
        <f>E15/E9</f>
        <v>-10.18567255124465</v>
      </c>
      <c r="H29" s="1" t="s">
        <v>29</v>
      </c>
      <c r="K29" s="10">
        <f>K15/K9</f>
        <v>0.27567453075552178</v>
      </c>
    </row>
    <row r="30" spans="2:12" x14ac:dyDescent="0.15">
      <c r="E30" s="10"/>
      <c r="K30" s="10"/>
    </row>
  </sheetData>
  <mergeCells count="2">
    <mergeCell ref="E7:F7"/>
    <mergeCell ref="K7:L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C43FB-A0C1-8047-89F5-47D8A3D0C959}">
  <dimension ref="A2:L34"/>
  <sheetViews>
    <sheetView workbookViewId="0">
      <selection activeCell="D46" sqref="D46:D47"/>
    </sheetView>
  </sheetViews>
  <sheetFormatPr baseColWidth="10" defaultRowHeight="16" x14ac:dyDescent="0.2"/>
  <cols>
    <col min="1" max="1" width="38.5" style="14" bestFit="1" customWidth="1"/>
    <col min="2" max="3" width="10.83203125" style="14" bestFit="1"/>
    <col min="4" max="5" width="11.1640625" style="14" customWidth="1"/>
    <col min="6" max="6" width="6.5" style="14" customWidth="1"/>
    <col min="7" max="7" width="29.33203125" style="14" customWidth="1"/>
    <col min="8" max="8" width="9.1640625" style="14" customWidth="1"/>
    <col min="9" max="9" width="10.83203125" style="14" bestFit="1"/>
    <col min="10" max="10" width="9.1640625" style="14" bestFit="1" customWidth="1"/>
    <col min="11" max="12" width="8.6640625" style="14" customWidth="1"/>
  </cols>
  <sheetData>
    <row r="2" spans="1:11" x14ac:dyDescent="0.2">
      <c r="A2" s="15" t="s">
        <v>37</v>
      </c>
    </row>
    <row r="7" spans="1:11" x14ac:dyDescent="0.2">
      <c r="D7" s="16" t="s">
        <v>31</v>
      </c>
      <c r="E7" s="16"/>
      <c r="J7" s="16" t="s">
        <v>2</v>
      </c>
      <c r="K7" s="16"/>
    </row>
    <row r="8" spans="1:11" x14ac:dyDescent="0.2">
      <c r="A8" s="17"/>
      <c r="B8" s="18" t="s">
        <v>32</v>
      </c>
      <c r="C8" s="18" t="s">
        <v>4</v>
      </c>
      <c r="D8" s="18" t="s">
        <v>5</v>
      </c>
      <c r="E8" s="18" t="s">
        <v>6</v>
      </c>
      <c r="F8" s="19"/>
      <c r="G8" s="17"/>
      <c r="H8" s="18" t="s">
        <v>4</v>
      </c>
      <c r="I8" s="18" t="s">
        <v>7</v>
      </c>
      <c r="J8" s="18" t="s">
        <v>5</v>
      </c>
      <c r="K8" s="18" t="s">
        <v>6</v>
      </c>
    </row>
    <row r="9" spans="1:11" x14ac:dyDescent="0.2">
      <c r="A9" s="17" t="s">
        <v>8</v>
      </c>
      <c r="B9" s="20">
        <v>1306905.3359999999</v>
      </c>
      <c r="C9" s="20">
        <v>1670035.55914</v>
      </c>
      <c r="D9" s="20">
        <v>363130.22314000013</v>
      </c>
      <c r="E9" s="21">
        <v>0.2778550313761976</v>
      </c>
      <c r="G9" s="17" t="s">
        <v>8</v>
      </c>
      <c r="H9" s="20">
        <v>1670035.55914</v>
      </c>
      <c r="I9" s="20">
        <v>1992173.6360095087</v>
      </c>
      <c r="J9" s="20">
        <v>322138.07686950872</v>
      </c>
      <c r="K9" s="21">
        <v>0.1928929447678327</v>
      </c>
    </row>
    <row r="10" spans="1:11" x14ac:dyDescent="0.2">
      <c r="A10" s="17" t="s">
        <v>35</v>
      </c>
      <c r="B10" s="22">
        <v>1172649.781</v>
      </c>
      <c r="C10" s="22">
        <v>551111.73451620003</v>
      </c>
      <c r="D10" s="22">
        <v>-621538.04648379993</v>
      </c>
      <c r="E10" s="23">
        <v>-0.53002870640010802</v>
      </c>
      <c r="G10" s="17" t="s">
        <v>35</v>
      </c>
      <c r="H10" s="22">
        <v>551111.73451620003</v>
      </c>
      <c r="I10" s="22">
        <v>657417.29988313792</v>
      </c>
      <c r="J10" s="22">
        <v>106305.5653669379</v>
      </c>
      <c r="K10" s="23">
        <v>0.1928929447678327</v>
      </c>
    </row>
    <row r="11" spans="1:11" x14ac:dyDescent="0.2">
      <c r="A11" s="17" t="s">
        <v>10</v>
      </c>
      <c r="B11" s="20">
        <v>134255.55499999993</v>
      </c>
      <c r="C11" s="20">
        <v>1118923.8246237999</v>
      </c>
      <c r="D11" s="20">
        <v>984668.26962380006</v>
      </c>
      <c r="E11" s="21">
        <v>7.3342832601883803</v>
      </c>
      <c r="G11" s="17" t="s">
        <v>10</v>
      </c>
      <c r="H11" s="20">
        <v>1118923.8246237999</v>
      </c>
      <c r="I11" s="20">
        <v>1334756.3361263708</v>
      </c>
      <c r="J11" s="20">
        <v>215832.51150257082</v>
      </c>
      <c r="K11" s="21">
        <v>0.19289294476783292</v>
      </c>
    </row>
    <row r="12" spans="1:11" x14ac:dyDescent="0.2">
      <c r="A12" s="17" t="s">
        <v>11</v>
      </c>
      <c r="B12" s="21">
        <v>0.10272783445120155</v>
      </c>
      <c r="C12" s="21">
        <v>0.66999999999999993</v>
      </c>
      <c r="G12" s="17" t="s">
        <v>11</v>
      </c>
      <c r="H12" s="24">
        <v>0.66999999999999993</v>
      </c>
      <c r="I12" s="24">
        <v>0.66999999999999993</v>
      </c>
    </row>
    <row r="13" spans="1:11" x14ac:dyDescent="0.2">
      <c r="A13" s="17" t="s">
        <v>36</v>
      </c>
      <c r="B13" s="20">
        <v>131472.50399999999</v>
      </c>
      <c r="C13" s="20">
        <v>1047890.6682538</v>
      </c>
      <c r="D13" s="20">
        <v>916418.16425380006</v>
      </c>
      <c r="E13" s="21">
        <v>6.9704169037033035</v>
      </c>
      <c r="G13" s="17" t="s">
        <v>36</v>
      </c>
      <c r="H13" s="20">
        <v>1047890.6682538</v>
      </c>
      <c r="I13" s="20">
        <v>1263697.354126371</v>
      </c>
      <c r="J13" s="20">
        <v>215806.68587257096</v>
      </c>
      <c r="K13" s="21">
        <v>0.20594389511282718</v>
      </c>
    </row>
    <row r="14" spans="1:11" x14ac:dyDescent="0.2">
      <c r="A14" s="17" t="s">
        <v>13</v>
      </c>
      <c r="B14" s="24">
        <v>0.10059833744530675</v>
      </c>
      <c r="C14" s="24">
        <v>0.62746608149674421</v>
      </c>
      <c r="G14" s="17" t="s">
        <v>13</v>
      </c>
      <c r="H14" s="24">
        <v>0.62746608149674421</v>
      </c>
      <c r="I14" s="24">
        <v>0.63433092943527902</v>
      </c>
    </row>
    <row r="15" spans="1:11" x14ac:dyDescent="0.2">
      <c r="A15" s="17" t="s">
        <v>14</v>
      </c>
      <c r="B15" s="20">
        <v>3412.6189999999488</v>
      </c>
      <c r="C15" s="20">
        <v>71476.51736999987</v>
      </c>
      <c r="D15" s="20">
        <v>68063.898369999923</v>
      </c>
      <c r="E15" s="21">
        <v>19.944769213909009</v>
      </c>
      <c r="G15" s="17" t="s">
        <v>14</v>
      </c>
      <c r="H15" s="20">
        <v>71476.51736999987</v>
      </c>
      <c r="I15" s="20">
        <v>71382.476999999839</v>
      </c>
      <c r="J15" s="20">
        <v>-94.040370000031544</v>
      </c>
      <c r="K15" s="21">
        <v>-1.3156820374058409E-3</v>
      </c>
    </row>
    <row r="16" spans="1:11" x14ac:dyDescent="0.2">
      <c r="A16" s="17" t="s">
        <v>15</v>
      </c>
      <c r="B16" s="21">
        <v>2.611221261399723E-3</v>
      </c>
      <c r="C16" s="21">
        <v>4.2799398479160138E-2</v>
      </c>
      <c r="G16" s="17" t="s">
        <v>15</v>
      </c>
      <c r="H16" s="24">
        <v>4.2799398479160138E-2</v>
      </c>
      <c r="I16" s="24">
        <v>3.5831453498694495E-2</v>
      </c>
    </row>
    <row r="17" spans="1:11" x14ac:dyDescent="0.2">
      <c r="A17" s="17" t="s">
        <v>16</v>
      </c>
      <c r="B17" s="20">
        <v>2783.0509999999485</v>
      </c>
      <c r="C17" s="20">
        <v>71033.156369999866</v>
      </c>
      <c r="D17" s="20">
        <v>68250.105369999917</v>
      </c>
      <c r="E17" s="21">
        <v>24.523483533000718</v>
      </c>
      <c r="G17" s="17" t="s">
        <v>16</v>
      </c>
      <c r="H17" s="20">
        <v>71033.156369999866</v>
      </c>
      <c r="I17" s="20">
        <v>71058.981999999844</v>
      </c>
      <c r="J17" s="20">
        <v>25.825629999977536</v>
      </c>
      <c r="K17" s="21">
        <v>3.6357148294885455E-4</v>
      </c>
    </row>
    <row r="18" spans="1:11" x14ac:dyDescent="0.2">
      <c r="A18" s="17" t="s">
        <v>17</v>
      </c>
      <c r="B18" s="21">
        <v>2.1294970058948087E-3</v>
      </c>
      <c r="C18" s="21">
        <v>4.2533918503255726E-2</v>
      </c>
      <c r="G18" s="17" t="s">
        <v>17</v>
      </c>
      <c r="H18" s="24">
        <v>4.2533918503255726E-2</v>
      </c>
      <c r="I18" s="24">
        <v>3.5669070564720934E-2</v>
      </c>
    </row>
    <row r="19" spans="1:11" x14ac:dyDescent="0.2">
      <c r="A19" s="17" t="s">
        <v>38</v>
      </c>
      <c r="B19" s="20">
        <v>-1405.461</v>
      </c>
      <c r="C19" s="20">
        <v>-2353.2494499999998</v>
      </c>
      <c r="D19" s="20">
        <v>-947.78844999999978</v>
      </c>
      <c r="E19" s="21">
        <v>0.6743612594017192</v>
      </c>
      <c r="G19" s="17" t="s">
        <v>18</v>
      </c>
      <c r="H19" s="20">
        <v>-2353.2494499999998</v>
      </c>
      <c r="I19" s="20">
        <v>-1968.476999999993</v>
      </c>
      <c r="J19" s="20">
        <v>384.77245000000676</v>
      </c>
      <c r="K19" s="21">
        <v>-0.16350686919315194</v>
      </c>
    </row>
    <row r="20" spans="1:11" x14ac:dyDescent="0.2">
      <c r="A20" s="17" t="s">
        <v>21</v>
      </c>
      <c r="B20" s="20">
        <v>4188.5119999999488</v>
      </c>
      <c r="C20" s="20">
        <v>73386.405819999869</v>
      </c>
      <c r="D20" s="20">
        <v>69197.893819999925</v>
      </c>
      <c r="E20" s="21">
        <v>16.520877538371806</v>
      </c>
      <c r="G20" s="17" t="s">
        <v>21</v>
      </c>
      <c r="H20" s="20">
        <v>73386.405819999869</v>
      </c>
      <c r="I20" s="20">
        <v>73027.458999999842</v>
      </c>
      <c r="J20" s="20">
        <v>-358.94682000002649</v>
      </c>
      <c r="K20" s="21">
        <v>-4.8911895328467292E-3</v>
      </c>
    </row>
    <row r="21" spans="1:11" x14ac:dyDescent="0.2">
      <c r="A21" s="17" t="s">
        <v>22</v>
      </c>
      <c r="B21" s="21">
        <v>3.2049084846646836E-3</v>
      </c>
      <c r="C21" s="21">
        <v>4.3943019906588617E-2</v>
      </c>
      <c r="G21" s="17" t="s">
        <v>22</v>
      </c>
      <c r="H21" s="24">
        <v>4.3943019906588617E-2</v>
      </c>
      <c r="I21" s="24">
        <v>3.6657175699945505E-2</v>
      </c>
    </row>
    <row r="22" spans="1:11" x14ac:dyDescent="0.2">
      <c r="A22" s="17" t="s">
        <v>23</v>
      </c>
      <c r="B22" s="25">
        <v>0</v>
      </c>
      <c r="C22" s="25">
        <v>0</v>
      </c>
      <c r="D22" s="20">
        <v>0</v>
      </c>
      <c r="E22" s="21">
        <v>0</v>
      </c>
      <c r="G22" s="17" t="s">
        <v>23</v>
      </c>
      <c r="H22" s="20">
        <v>0</v>
      </c>
      <c r="I22" s="20">
        <v>0</v>
      </c>
      <c r="J22" s="20">
        <v>0</v>
      </c>
      <c r="K22" s="21">
        <v>0</v>
      </c>
    </row>
    <row r="23" spans="1:11" x14ac:dyDescent="0.2">
      <c r="A23" s="17" t="s">
        <v>33</v>
      </c>
      <c r="B23" s="25">
        <v>0</v>
      </c>
      <c r="C23" s="20">
        <v>-67603.794082840628</v>
      </c>
      <c r="D23" s="25" t="s">
        <v>24</v>
      </c>
      <c r="E23" s="26" t="s">
        <v>24</v>
      </c>
      <c r="G23" s="17" t="s">
        <v>33</v>
      </c>
      <c r="H23" s="20">
        <v>-67603.794082840628</v>
      </c>
      <c r="I23" s="20">
        <v>-21808.474615394087</v>
      </c>
      <c r="J23" s="20">
        <v>45795.319467446541</v>
      </c>
      <c r="K23" s="21">
        <v>-0.67740753442520807</v>
      </c>
    </row>
    <row r="24" spans="1:11" x14ac:dyDescent="0.2">
      <c r="A24" s="14" t="s">
        <v>26</v>
      </c>
      <c r="B24" s="22">
        <v>629.56799999999998</v>
      </c>
      <c r="C24" s="22">
        <v>443.36099999999999</v>
      </c>
      <c r="D24" s="22">
        <v>-186.20699999999999</v>
      </c>
      <c r="E24" s="23">
        <v>-0.29576948002439774</v>
      </c>
      <c r="G24" s="14" t="s">
        <v>26</v>
      </c>
      <c r="H24" s="22">
        <v>443.36099999999999</v>
      </c>
      <c r="I24" s="22">
        <v>323.495</v>
      </c>
      <c r="J24" s="22">
        <v>-119.86599999999999</v>
      </c>
      <c r="K24" s="27">
        <v>-0.27035756415201151</v>
      </c>
    </row>
    <row r="25" spans="1:11" x14ac:dyDescent="0.2">
      <c r="A25" s="14" t="s">
        <v>28</v>
      </c>
      <c r="B25" s="20">
        <v>4818.079999999949</v>
      </c>
      <c r="C25" s="20">
        <v>6225.9727371592453</v>
      </c>
      <c r="D25" s="20">
        <v>1407.8927371592963</v>
      </c>
      <c r="E25" s="21">
        <v>0.29221032800603375</v>
      </c>
      <c r="G25" s="14" t="s">
        <v>28</v>
      </c>
      <c r="H25" s="20">
        <v>6225.9727371592453</v>
      </c>
      <c r="I25" s="20">
        <v>51542.479384605758</v>
      </c>
      <c r="J25" s="20">
        <v>45316.506647446513</v>
      </c>
      <c r="K25" s="21">
        <v>7.2786227246030784</v>
      </c>
    </row>
    <row r="26" spans="1:11" x14ac:dyDescent="0.2">
      <c r="A26" s="17"/>
      <c r="G26" s="17"/>
    </row>
    <row r="32" spans="1:11" x14ac:dyDescent="0.2">
      <c r="A32" s="14" t="s">
        <v>29</v>
      </c>
      <c r="G32" s="14" t="s">
        <v>29</v>
      </c>
    </row>
    <row r="34" spans="2:10" x14ac:dyDescent="0.2">
      <c r="B34" s="20"/>
      <c r="C34" s="24" t="e">
        <f>C14/C8</f>
        <v>#VALUE!</v>
      </c>
      <c r="I34" s="24"/>
      <c r="J34" s="24" t="e">
        <f>J14/J8</f>
        <v>#VALUE!</v>
      </c>
    </row>
  </sheetData>
  <mergeCells count="2">
    <mergeCell ref="D7:E7"/>
    <mergeCell ref="J7:K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Company A</vt:lpstr>
      <vt:lpstr>Company B</vt:lpstr>
      <vt:lpstr>Company C</vt:lpstr>
      <vt:lpstr>Company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Bhatnagar</dc:creator>
  <cp:lastModifiedBy>Rishi Bhatnagar</cp:lastModifiedBy>
  <dcterms:created xsi:type="dcterms:W3CDTF">2025-11-12T02:18:05Z</dcterms:created>
  <dcterms:modified xsi:type="dcterms:W3CDTF">2025-11-12T02:24:06Z</dcterms:modified>
</cp:coreProperties>
</file>